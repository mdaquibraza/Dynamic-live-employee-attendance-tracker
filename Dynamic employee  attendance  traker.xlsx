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quib\Desktop\Excel Practical\video 7 practical\"/>
    </mc:Choice>
  </mc:AlternateContent>
  <xr:revisionPtr revIDLastSave="0" documentId="13_ncr:1_{0D93EDAF-B63D-4370-AB45-95CD6174AFFC}" xr6:coauthVersionLast="47" xr6:coauthVersionMax="47" xr10:uidLastSave="{00000000-0000-0000-0000-000000000000}"/>
  <bookViews>
    <workbookView xWindow="-108" yWindow="-108" windowWidth="23256" windowHeight="12576" xr2:uid="{6E00E187-0570-486A-8CEF-F6D87690BB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17" i="1"/>
  <c r="B14" i="1"/>
  <c r="B11" i="1"/>
  <c r="B9" i="1"/>
  <c r="B10" i="1"/>
  <c r="B12" i="1"/>
  <c r="B13" i="1"/>
  <c r="B15" i="1"/>
  <c r="B16" i="1"/>
  <c r="B18" i="1"/>
  <c r="AJ11" i="1"/>
  <c r="AJ9" i="1"/>
  <c r="AK9" i="1"/>
  <c r="AK10" i="1"/>
  <c r="AK11" i="1"/>
  <c r="AK12" i="1"/>
  <c r="AK13" i="1"/>
  <c r="AK14" i="1"/>
  <c r="AK15" i="1"/>
  <c r="AK16" i="1"/>
  <c r="AK17" i="1"/>
  <c r="AK18" i="1"/>
  <c r="AJ10" i="1"/>
  <c r="AJ12" i="1"/>
  <c r="AJ13" i="1"/>
  <c r="AJ14" i="1"/>
  <c r="AJ15" i="1"/>
  <c r="AJ16" i="1"/>
  <c r="AJ17" i="1"/>
  <c r="AJ18" i="1"/>
  <c r="AK8" i="1"/>
  <c r="AJ8" i="1"/>
  <c r="C7" i="1"/>
  <c r="A5" i="1"/>
  <c r="B5" i="1" s="1"/>
  <c r="D7" i="1" l="1"/>
  <c r="D6" i="1" s="1"/>
  <c r="C6" i="1"/>
  <c r="E7" i="1" l="1"/>
  <c r="F7" i="1" s="1"/>
  <c r="E6" i="1" l="1"/>
  <c r="G7" i="1"/>
  <c r="F6" i="1"/>
  <c r="H7" i="1" l="1"/>
  <c r="H6" i="1" s="1"/>
  <c r="G6" i="1"/>
  <c r="I7" i="1" l="1"/>
  <c r="J7" i="1" l="1"/>
  <c r="I6" i="1"/>
  <c r="K7" i="1" l="1"/>
  <c r="J6" i="1"/>
  <c r="K6" i="1" l="1"/>
  <c r="L7" i="1"/>
  <c r="M7" i="1" l="1"/>
  <c r="L6" i="1"/>
  <c r="N7" i="1" l="1"/>
  <c r="M6" i="1"/>
  <c r="O7" i="1" l="1"/>
  <c r="N6" i="1"/>
  <c r="P7" i="1" l="1"/>
  <c r="O6" i="1"/>
  <c r="Q7" i="1" l="1"/>
  <c r="P6" i="1"/>
  <c r="Q6" i="1" l="1"/>
  <c r="R7" i="1"/>
  <c r="S7" i="1" l="1"/>
  <c r="R6" i="1"/>
  <c r="T7" i="1" l="1"/>
  <c r="S6" i="1"/>
  <c r="U7" i="1" l="1"/>
  <c r="T6" i="1"/>
  <c r="U6" i="1" l="1"/>
  <c r="V7" i="1"/>
  <c r="W7" i="1" l="1"/>
  <c r="V6" i="1"/>
  <c r="X7" i="1" l="1"/>
  <c r="W6" i="1"/>
  <c r="Y7" i="1" l="1"/>
  <c r="X6" i="1"/>
  <c r="Z7" i="1" l="1"/>
  <c r="Y6" i="1"/>
  <c r="AA7" i="1" l="1"/>
  <c r="Z6" i="1"/>
  <c r="AB7" i="1" l="1"/>
  <c r="AA6" i="1"/>
  <c r="AC7" i="1" l="1"/>
  <c r="AB6" i="1"/>
  <c r="AD7" i="1" l="1"/>
  <c r="AC6" i="1"/>
  <c r="AD6" i="1" l="1"/>
  <c r="AE7" i="1"/>
  <c r="AF7" i="1" l="1"/>
  <c r="AE6" i="1"/>
  <c r="AG7" i="1" l="1"/>
  <c r="AF6" i="1"/>
  <c r="AH7" i="1" l="1"/>
  <c r="AI7" i="1" s="1"/>
  <c r="AG6" i="1"/>
</calcChain>
</file>

<file path=xl/sharedStrings.xml><?xml version="1.0" encoding="utf-8"?>
<sst xmlns="http://schemas.openxmlformats.org/spreadsheetml/2006/main" count="59" uniqueCount="46">
  <si>
    <t>Hcl</t>
  </si>
  <si>
    <t>Month</t>
  </si>
  <si>
    <t>Year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</si>
  <si>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</si>
  <si>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</si>
  <si>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</si>
  <si>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</si>
  <si>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</si>
  <si>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</si>
  <si>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</si>
  <si>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</si>
  <si>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</si>
  <si>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</si>
  <si>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</si>
  <si>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</si>
  <si>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Emp Id</t>
  </si>
  <si>
    <t>Emp Name</t>
  </si>
  <si>
    <t>aquib</t>
  </si>
  <si>
    <t>azal</t>
  </si>
  <si>
    <t>asif</t>
  </si>
  <si>
    <t>rafi</t>
  </si>
  <si>
    <t>arman</t>
  </si>
  <si>
    <t>shad</t>
  </si>
  <si>
    <t>talib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</si>
  <si>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</si>
  <si>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</si>
  <si>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</si>
  <si>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</si>
  <si>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</si>
  <si>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</si>
  <si>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</si>
  <si>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</si>
  <si>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</si>
  <si>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</si>
  <si>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</si>
  <si>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Employee Attendence Tracker</t>
  </si>
  <si>
    <t>p</t>
  </si>
  <si>
    <t>A</t>
  </si>
  <si>
    <t>a</t>
  </si>
  <si>
    <t>date</t>
  </si>
  <si>
    <t>emp-id</t>
  </si>
  <si>
    <t>status</t>
  </si>
  <si>
    <t>adnan</t>
  </si>
  <si>
    <t>farhan</t>
  </si>
  <si>
    <t>arjan</t>
  </si>
  <si>
    <t>furkan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</si>
</sst>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i/>
      <sz val="48"/>
      <color theme="1"/>
      <name val="Bahnschrift"/>
      <family val="2"/>
    </font>
    <font>
      <i/>
      <sz val="48"/>
      <color theme="1"/>
      <name val="Arial Narrow"/>
      <family val="2"/>
    </font>
    <font>
      <b/>
      <i/>
      <sz val="22"/>
      <color theme="1"/>
      <name val="Aptos Narrow"/>
      <family val="2"/>
      <scheme val="minor"/>
    </font>
    <font>
      <b/>
      <i/>
      <sz val="22"/>
      <color theme="1"/>
      <name val="Arial Narrow"/>
      <family val="2"/>
    </font>
    <font>
      <b/>
      <i/>
      <sz val="11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4" fontId="0" fillId="0" borderId="0" xfId="0" applyNumberFormat="1"/>
    <xf numFmtId="0" fontId="0" fillId="0" borderId="0" xfId="0" applyBorder="1"/>
    <xf numFmtId="0" fontId="0" fillId="0" borderId="0" xfId="0" applyFont="1" applyBorder="1"/>
    <xf numFmtId="164" fontId="3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/>
    <xf numFmtId="0" fontId="0" fillId="0" borderId="1" xfId="0" applyBorder="1"/>
    <xf numFmtId="164" fontId="1" fillId="0" borderId="2" xfId="0" applyNumberFormat="1" applyFont="1" applyBorder="1" applyAlignment="1">
      <alignment textRotation="90"/>
    </xf>
    <xf numFmtId="164" fontId="3" fillId="2" borderId="3" xfId="0" applyNumberFormat="1" applyFont="1" applyFill="1" applyBorder="1" applyAlignment="1">
      <alignment horizontal="left"/>
    </xf>
    <xf numFmtId="164" fontId="3" fillId="2" borderId="3" xfId="0" applyNumberFormat="1" applyFont="1" applyFill="1" applyBorder="1" applyAlignment="1"/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 applyProtection="1">
      <alignment horizontal="center"/>
      <protection locked="0"/>
    </xf>
    <xf numFmtId="14" fontId="8" fillId="3" borderId="1" xfId="0" applyNumberFormat="1" applyFont="1" applyFill="1" applyBorder="1" applyProtection="1"/>
    <xf numFmtId="14" fontId="8" fillId="3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 applyProtection="1">
      <alignment horizontal="center"/>
    </xf>
    <xf numFmtId="0" fontId="8" fillId="2" borderId="1" xfId="0" applyFont="1" applyFill="1" applyBorder="1" applyAlignment="1" applyProtection="1">
      <alignment horizontal="center"/>
    </xf>
    <xf numFmtId="0" fontId="8" fillId="5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0" fillId="6" borderId="1" xfId="0" applyFill="1" applyBorder="1" applyProtection="1"/>
  </cellXfs>
  <cellStyles count="1">
    <cellStyle name="Normal" xfId="0" builtinId="0"/>
  </cellStyles>
  <dxfs count="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ont>
        <color rgb="FF9C0006"/>
      </font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2680-8A36-4A80-8C70-3CC32F2A866E}">
  <sheetPr codeName="Sheet1"/>
  <dimension ref="A1:AK73"/>
  <sheetViews>
    <sheetView tabSelected="1" workbookViewId="0">
      <selection activeCell="P23" sqref="P23"/>
    </sheetView>
  </sheetViews>
  <sheetFormatPr defaultRowHeight="14.4" x14ac:dyDescent="0.3"/>
  <cols>
    <col min="1" max="1" width="16.21875" customWidth="1"/>
    <col min="2" max="2" width="18.6640625" customWidth="1"/>
    <col min="3" max="108" width="4.33203125" customWidth="1"/>
  </cols>
  <sheetData>
    <row r="1" spans="1:37" ht="14.4" customHeight="1" x14ac:dyDescent="0.3">
      <c r="A1" s="14" t="s">
        <v>0</v>
      </c>
      <c r="B1" s="14"/>
      <c r="C1" s="12" t="s">
        <v>35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x14ac:dyDescent="0.3">
      <c r="A2" s="14"/>
      <c r="B2" s="1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37" x14ac:dyDescent="0.3">
      <c r="A3" s="15" t="s">
        <v>1</v>
      </c>
      <c r="B3" s="16" t="s">
        <v>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37" x14ac:dyDescent="0.3">
      <c r="A4" s="15" t="s">
        <v>2</v>
      </c>
      <c r="B4" s="16">
        <v>2029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37" x14ac:dyDescent="0.3">
      <c r="A5" s="17">
        <f>DATEVALUE("1"&amp;B3&amp;B4)</f>
        <v>47178</v>
      </c>
      <c r="B5" s="18">
        <f>EOMONTH(A5,0)</f>
        <v>47208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spans="1:37" ht="25.8" x14ac:dyDescent="0.3">
      <c r="A6" s="19" t="s">
        <v>15</v>
      </c>
      <c r="B6" s="21" t="s">
        <v>16</v>
      </c>
      <c r="C6" s="9" t="str">
        <f>TEXT(C7,"ddd")</f>
        <v>Thu</v>
      </c>
      <c r="D6" s="9" t="str">
        <f t="shared" ref="D6:AG6" si="0">TEXT(D7,"ddd")</f>
        <v>Fri</v>
      </c>
      <c r="E6" s="9" t="str">
        <f t="shared" si="0"/>
        <v>Sat</v>
      </c>
      <c r="F6" s="9" t="str">
        <f t="shared" si="0"/>
        <v>Sun</v>
      </c>
      <c r="G6" s="9" t="str">
        <f t="shared" si="0"/>
        <v>Mon</v>
      </c>
      <c r="H6" s="9" t="str">
        <f t="shared" si="0"/>
        <v>Tue</v>
      </c>
      <c r="I6" s="9" t="str">
        <f t="shared" si="0"/>
        <v>Wed</v>
      </c>
      <c r="J6" s="9" t="str">
        <f t="shared" si="0"/>
        <v>Thu</v>
      </c>
      <c r="K6" s="9" t="str">
        <f t="shared" si="0"/>
        <v>Fri</v>
      </c>
      <c r="L6" s="9" t="str">
        <f t="shared" si="0"/>
        <v>Sat</v>
      </c>
      <c r="M6" s="9" t="str">
        <f t="shared" si="0"/>
        <v>Sun</v>
      </c>
      <c r="N6" s="9" t="str">
        <f t="shared" si="0"/>
        <v>Mon</v>
      </c>
      <c r="O6" s="9" t="str">
        <f t="shared" si="0"/>
        <v>Tue</v>
      </c>
      <c r="P6" s="9" t="str">
        <f t="shared" si="0"/>
        <v>Wed</v>
      </c>
      <c r="Q6" s="9" t="str">
        <f t="shared" si="0"/>
        <v>Thu</v>
      </c>
      <c r="R6" s="9" t="str">
        <f t="shared" si="0"/>
        <v>Fri</v>
      </c>
      <c r="S6" s="9" t="str">
        <f t="shared" si="0"/>
        <v>Sat</v>
      </c>
      <c r="T6" s="9" t="str">
        <f t="shared" si="0"/>
        <v>Sun</v>
      </c>
      <c r="U6" s="9" t="str">
        <f t="shared" si="0"/>
        <v>Mon</v>
      </c>
      <c r="V6" s="9" t="str">
        <f t="shared" si="0"/>
        <v>Tue</v>
      </c>
      <c r="W6" s="9" t="str">
        <f t="shared" si="0"/>
        <v>Wed</v>
      </c>
      <c r="X6" s="9" t="str">
        <f t="shared" si="0"/>
        <v>Thu</v>
      </c>
      <c r="Y6" s="9" t="str">
        <f t="shared" si="0"/>
        <v>Fri</v>
      </c>
      <c r="Z6" s="9" t="str">
        <f t="shared" si="0"/>
        <v>Sat</v>
      </c>
      <c r="AA6" s="9" t="str">
        <f t="shared" si="0"/>
        <v>Sun</v>
      </c>
      <c r="AB6" s="9" t="str">
        <f t="shared" si="0"/>
        <v>Mon</v>
      </c>
      <c r="AC6" s="9" t="str">
        <f t="shared" si="0"/>
        <v>Tue</v>
      </c>
      <c r="AD6" s="9" t="str">
        <f t="shared" si="0"/>
        <v>Wed</v>
      </c>
      <c r="AE6" s="9" t="str">
        <f t="shared" si="0"/>
        <v>Thu</v>
      </c>
      <c r="AF6" s="9" t="str">
        <f t="shared" si="0"/>
        <v>Fri</v>
      </c>
      <c r="AG6" s="9" t="str">
        <f t="shared" si="0"/>
        <v>Sat</v>
      </c>
      <c r="AJ6" s="10" t="s">
        <v>36</v>
      </c>
      <c r="AK6" s="11" t="s">
        <v>37</v>
      </c>
    </row>
    <row r="7" spans="1:37" x14ac:dyDescent="0.3">
      <c r="A7" s="20"/>
      <c r="B7" s="22"/>
      <c r="C7" s="2">
        <f>DATEVALUE("1"&amp;B3&amp;B4)</f>
        <v>47178</v>
      </c>
      <c r="D7" s="2">
        <f>IFERROR(IF(C7+1&gt;$B$5," ",C7+1)," ")</f>
        <v>47179</v>
      </c>
      <c r="E7" s="2">
        <f>IFERROR(IF(D7+1&gt;$B$5," ",D7+1)," ")</f>
        <v>47180</v>
      </c>
      <c r="F7" s="2">
        <f t="shared" ref="F7:AF7" si="1">IFERROR(IF(E7+1&gt;$B$5," ",E7+1)," ")</f>
        <v>47181</v>
      </c>
      <c r="G7" s="2">
        <f t="shared" si="1"/>
        <v>47182</v>
      </c>
      <c r="H7" s="2">
        <f>IFERROR(IF(G7+1&gt;$B$5," ",G7+1)," ")</f>
        <v>47183</v>
      </c>
      <c r="I7" s="2">
        <f t="shared" si="1"/>
        <v>47184</v>
      </c>
      <c r="J7" s="2">
        <f t="shared" si="1"/>
        <v>47185</v>
      </c>
      <c r="K7" s="2">
        <f t="shared" si="1"/>
        <v>47186</v>
      </c>
      <c r="L7" s="2">
        <f t="shared" si="1"/>
        <v>47187</v>
      </c>
      <c r="M7" s="2">
        <f t="shared" si="1"/>
        <v>47188</v>
      </c>
      <c r="N7" s="2">
        <f t="shared" si="1"/>
        <v>47189</v>
      </c>
      <c r="O7" s="2">
        <f t="shared" si="1"/>
        <v>47190</v>
      </c>
      <c r="P7" s="2">
        <f t="shared" si="1"/>
        <v>47191</v>
      </c>
      <c r="Q7" s="2">
        <f t="shared" si="1"/>
        <v>47192</v>
      </c>
      <c r="R7" s="2">
        <f t="shared" si="1"/>
        <v>47193</v>
      </c>
      <c r="S7" s="2">
        <f t="shared" si="1"/>
        <v>47194</v>
      </c>
      <c r="T7" s="2">
        <f t="shared" si="1"/>
        <v>47195</v>
      </c>
      <c r="U7" s="2">
        <f t="shared" si="1"/>
        <v>47196</v>
      </c>
      <c r="V7" s="2">
        <f t="shared" si="1"/>
        <v>47197</v>
      </c>
      <c r="W7" s="2">
        <f t="shared" si="1"/>
        <v>47198</v>
      </c>
      <c r="X7" s="2">
        <f t="shared" si="1"/>
        <v>47199</v>
      </c>
      <c r="Y7" s="2">
        <f t="shared" si="1"/>
        <v>47200</v>
      </c>
      <c r="Z7" s="2">
        <f t="shared" si="1"/>
        <v>47201</v>
      </c>
      <c r="AA7" s="2">
        <f t="shared" si="1"/>
        <v>47202</v>
      </c>
      <c r="AB7" s="2">
        <f t="shared" si="1"/>
        <v>47203</v>
      </c>
      <c r="AC7" s="2">
        <f t="shared" si="1"/>
        <v>47204</v>
      </c>
      <c r="AD7" s="2">
        <f t="shared" si="1"/>
        <v>47205</v>
      </c>
      <c r="AE7" s="2">
        <f t="shared" si="1"/>
        <v>47206</v>
      </c>
      <c r="AF7" s="2">
        <f t="shared" si="1"/>
        <v>47207</v>
      </c>
      <c r="AG7" s="2">
        <f>IFERROR(IF(AF7+1&gt;$B$5," ",AF7+1)," ")</f>
        <v>47208</v>
      </c>
      <c r="AH7" s="3" t="str">
        <f t="shared" ref="AH7:AI7" si="2">IFERROR(IF(AG7+1&gt;AF5,"",AG7+1),"")</f>
        <v/>
      </c>
      <c r="AI7" s="3" t="str">
        <f t="shared" si="2"/>
        <v/>
      </c>
      <c r="AJ7" s="6"/>
      <c r="AK7" s="7"/>
    </row>
    <row r="8" spans="1:37" x14ac:dyDescent="0.3">
      <c r="A8" s="23" t="s">
        <v>24</v>
      </c>
      <c r="B8" s="24" t="str">
        <f>PROPER(Sheet2!N16)</f>
        <v>Aquib</v>
      </c>
      <c r="C8" s="25"/>
      <c r="D8" s="26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J8" s="27">
        <f>COUNTIF(C8:AG8,$AJ$6)</f>
        <v>0</v>
      </c>
      <c r="AK8" s="27">
        <f>COUNTIF(C8:AF8,$AK$6)</f>
        <v>0</v>
      </c>
    </row>
    <row r="9" spans="1:37" x14ac:dyDescent="0.3">
      <c r="A9" s="23" t="s">
        <v>25</v>
      </c>
      <c r="B9" s="24" t="str">
        <f>PROPER(Sheet2!N17)</f>
        <v>Azal</v>
      </c>
      <c r="C9" s="25"/>
      <c r="D9" s="26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J9" s="27">
        <f>COUNTIF(C9:AG9,$AJ$6)</f>
        <v>0</v>
      </c>
      <c r="AK9" s="27">
        <f t="shared" ref="AK9:AK18" si="3">COUNTIF(C9:AF9,$AK$6)</f>
        <v>0</v>
      </c>
    </row>
    <row r="10" spans="1:37" x14ac:dyDescent="0.3">
      <c r="A10" s="23" t="s">
        <v>26</v>
      </c>
      <c r="B10" s="24" t="str">
        <f>PROPER(Sheet2!N18)</f>
        <v>Arman</v>
      </c>
      <c r="C10" s="25"/>
      <c r="D10" s="26"/>
      <c r="E10" s="25"/>
      <c r="F10" s="25"/>
      <c r="G10" s="25" t="s">
        <v>36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J10" s="27">
        <f t="shared" ref="AJ10:AJ18" si="4">COUNTIF(C10:AG10,$AJ$6)</f>
        <v>1</v>
      </c>
      <c r="AK10" s="27">
        <f t="shared" si="3"/>
        <v>0</v>
      </c>
    </row>
    <row r="11" spans="1:37" x14ac:dyDescent="0.3">
      <c r="A11" s="23" t="s">
        <v>27</v>
      </c>
      <c r="B11" s="24" t="str">
        <f>PROPER(Sheet2!N19)</f>
        <v>Asif</v>
      </c>
      <c r="C11" s="25"/>
      <c r="D11" s="26"/>
      <c r="E11" s="25"/>
      <c r="F11" s="25"/>
      <c r="G11" s="25"/>
      <c r="H11" s="25"/>
      <c r="I11" s="25"/>
      <c r="J11" s="25"/>
      <c r="K11" s="25" t="s">
        <v>36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J11" s="27">
        <f>COUNTIF(C11:AG11,$AJ$6)</f>
        <v>1</v>
      </c>
      <c r="AK11" s="27">
        <f t="shared" si="3"/>
        <v>0</v>
      </c>
    </row>
    <row r="12" spans="1:37" x14ac:dyDescent="0.3">
      <c r="A12" s="23" t="s">
        <v>28</v>
      </c>
      <c r="B12" s="24" t="str">
        <f>PROPER(Sheet2!N20)</f>
        <v>Talib</v>
      </c>
      <c r="C12" s="25"/>
      <c r="D12" s="26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 t="s">
        <v>38</v>
      </c>
      <c r="AA12" s="25"/>
      <c r="AB12" s="25"/>
      <c r="AC12" s="25"/>
      <c r="AD12" s="25"/>
      <c r="AE12" s="25"/>
      <c r="AF12" s="25"/>
      <c r="AG12" s="25"/>
      <c r="AJ12" s="27">
        <f t="shared" si="4"/>
        <v>0</v>
      </c>
      <c r="AK12" s="27">
        <f t="shared" si="3"/>
        <v>1</v>
      </c>
    </row>
    <row r="13" spans="1:37" x14ac:dyDescent="0.3">
      <c r="A13" s="23" t="s">
        <v>29</v>
      </c>
      <c r="B13" s="24" t="str">
        <f>PROPER(Sheet2!N21)</f>
        <v>Adnan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J13" s="27">
        <f t="shared" si="4"/>
        <v>0</v>
      </c>
      <c r="AK13" s="27">
        <f t="shared" si="3"/>
        <v>0</v>
      </c>
    </row>
    <row r="14" spans="1:37" x14ac:dyDescent="0.3">
      <c r="A14" s="23" t="s">
        <v>30</v>
      </c>
      <c r="B14" s="24" t="str">
        <f>PROPER(Sheet2!N22)</f>
        <v>Rafi</v>
      </c>
      <c r="C14" s="25"/>
      <c r="D14" s="25"/>
      <c r="E14" s="25"/>
      <c r="F14" s="25" t="s">
        <v>38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J14" s="27">
        <f t="shared" si="4"/>
        <v>0</v>
      </c>
      <c r="AK14" s="27">
        <f t="shared" si="3"/>
        <v>1</v>
      </c>
    </row>
    <row r="15" spans="1:37" x14ac:dyDescent="0.3">
      <c r="A15" s="23" t="s">
        <v>31</v>
      </c>
      <c r="B15" s="24" t="str">
        <f>PROPER(Sheet2!N23)</f>
        <v>Shad</v>
      </c>
      <c r="C15" s="25"/>
      <c r="D15" s="25"/>
      <c r="E15" s="25"/>
      <c r="F15" s="25"/>
      <c r="G15" s="25"/>
      <c r="H15" s="25"/>
      <c r="I15" s="25"/>
      <c r="J15" s="25"/>
      <c r="K15" s="25"/>
      <c r="L15" s="25" t="s">
        <v>38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 t="s">
        <v>36</v>
      </c>
      <c r="Z15" s="25" t="s">
        <v>36</v>
      </c>
      <c r="AA15" s="25"/>
      <c r="AB15" s="25"/>
      <c r="AC15" s="25"/>
      <c r="AD15" s="25"/>
      <c r="AE15" s="25"/>
      <c r="AF15" s="25"/>
      <c r="AG15" s="25"/>
      <c r="AJ15" s="27">
        <f t="shared" si="4"/>
        <v>2</v>
      </c>
      <c r="AK15" s="27">
        <f t="shared" si="3"/>
        <v>1</v>
      </c>
    </row>
    <row r="16" spans="1:37" x14ac:dyDescent="0.3">
      <c r="A16" s="23" t="s">
        <v>32</v>
      </c>
      <c r="B16" s="24" t="str">
        <f>PROPER(Sheet2!N24)</f>
        <v>Farhan</v>
      </c>
      <c r="C16" s="25"/>
      <c r="D16" s="25"/>
      <c r="E16" s="25"/>
      <c r="F16" s="25"/>
      <c r="G16" s="25"/>
      <c r="H16" s="25" t="s">
        <v>36</v>
      </c>
      <c r="I16" s="25"/>
      <c r="J16" s="25"/>
      <c r="K16" s="25"/>
      <c r="L16" s="25" t="s">
        <v>36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 t="s">
        <v>38</v>
      </c>
      <c r="AA16" s="25"/>
      <c r="AB16" s="25"/>
      <c r="AC16" s="25"/>
      <c r="AD16" s="25"/>
      <c r="AE16" s="25"/>
      <c r="AF16" s="25"/>
      <c r="AG16" s="25"/>
      <c r="AJ16" s="27">
        <f t="shared" si="4"/>
        <v>2</v>
      </c>
      <c r="AK16" s="27">
        <f t="shared" si="3"/>
        <v>1</v>
      </c>
    </row>
    <row r="17" spans="1:37" x14ac:dyDescent="0.3">
      <c r="A17" s="23" t="s">
        <v>33</v>
      </c>
      <c r="B17" s="24" t="str">
        <f>PROPER(Sheet2!N25)</f>
        <v>Arjan</v>
      </c>
      <c r="C17" s="25"/>
      <c r="D17" s="25"/>
      <c r="E17" s="25"/>
      <c r="F17" s="25"/>
      <c r="G17" s="25"/>
      <c r="H17" s="25"/>
      <c r="I17" s="25"/>
      <c r="J17" s="25"/>
      <c r="K17" s="25"/>
      <c r="L17" s="25" t="s">
        <v>38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 t="s">
        <v>38</v>
      </c>
      <c r="AA17" s="25"/>
      <c r="AB17" s="25"/>
      <c r="AC17" s="25"/>
      <c r="AD17" s="25"/>
      <c r="AE17" s="25"/>
      <c r="AF17" s="25"/>
      <c r="AG17" s="25"/>
      <c r="AJ17" s="27">
        <f t="shared" si="4"/>
        <v>0</v>
      </c>
      <c r="AK17" s="27">
        <f t="shared" si="3"/>
        <v>2</v>
      </c>
    </row>
    <row r="18" spans="1:37" x14ac:dyDescent="0.3">
      <c r="A18" s="23" t="s">
        <v>34</v>
      </c>
      <c r="B18" s="24" t="str">
        <f>PROPER(Sheet2!N26)</f>
        <v>Furkan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 t="s">
        <v>36</v>
      </c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J18" s="27">
        <f t="shared" si="4"/>
        <v>1</v>
      </c>
      <c r="AK18" s="27">
        <f t="shared" si="3"/>
        <v>0</v>
      </c>
    </row>
    <row r="21" spans="1:37" x14ac:dyDescent="0.3">
      <c r="Y21" s="4"/>
    </row>
    <row r="23" spans="1:37" x14ac:dyDescent="0.3">
      <c r="O23" s="4"/>
      <c r="S23" s="4"/>
    </row>
    <row r="73" spans="22:22" x14ac:dyDescent="0.3">
      <c r="V73" s="5"/>
    </row>
  </sheetData>
  <sheetProtection algorithmName="SHA-512" hashValue="XMgQesUp0K6xU9p0Q+1S0u0Mcd7QfQvz1s7T7tP1Yi4nCBqDXZL9366noJ7Xv5eQ3kPnod+MTLZh6Pn7tBMdXw==" saltValue="ZepUouPRX/ucrWifF5tZZA==" spinCount="100000" sheet="1" objects="1" scenarios="1"/>
  <mergeCells count="6">
    <mergeCell ref="AJ6:AJ7"/>
    <mergeCell ref="AK6:AK7"/>
    <mergeCell ref="C1:AK5"/>
    <mergeCell ref="A1:B2"/>
    <mergeCell ref="A6:A7"/>
    <mergeCell ref="B6:B7"/>
  </mergeCells>
  <phoneticPr fontId="2" type="noConversion"/>
  <conditionalFormatting sqref="B3">
    <cfRule type="expression" dxfId="6" priority="3">
      <formula>C$6&lt;&gt;""</formula>
    </cfRule>
  </conditionalFormatting>
  <conditionalFormatting sqref="C8">
    <cfRule type="containsText" dxfId="5" priority="1" operator="containsText" text="a">
      <formula>NOT(ISERROR(SEARCH("a",C8)))</formula>
    </cfRule>
  </conditionalFormatting>
  <conditionalFormatting sqref="C6:AG7">
    <cfRule type="notContainsBlanks" dxfId="4" priority="14">
      <formula>LEN(TRIM(C6))&gt;0</formula>
    </cfRule>
  </conditionalFormatting>
  <conditionalFormatting sqref="C8:AG18">
    <cfRule type="containsText" dxfId="3" priority="2" operator="containsText" text="a">
      <formula>NOT(ISERROR(SEARCH("a",C8)))</formula>
    </cfRule>
    <cfRule type="expression" dxfId="2" priority="6">
      <formula>C$6="sun"</formula>
    </cfRule>
    <cfRule type="expression" dxfId="1" priority="7">
      <formula>"C$6,=""sun"""</formula>
    </cfRule>
  </conditionalFormatting>
  <conditionalFormatting sqref="V73">
    <cfRule type="expression" dxfId="0" priority="5">
      <formula>C$8:$AG$18&lt;&gt;" "</formula>
    </cfRule>
  </conditionalFormatting>
  <dataValidations count="2">
    <dataValidation type="list" allowBlank="1" showInputMessage="1" showErrorMessage="1" sqref="B4" xr:uid="{F3DCAAB7-3449-43C1-97E7-1097AE28C5D5}">
      <formula1>"2026,2027,2028,2029,2030"</formula1>
    </dataValidation>
    <dataValidation type="custom" allowBlank="1" showInputMessage="1" showErrorMessage="1" errorTitle="info" error="sun = week off_x000a_A=absent_x000a_P=present_x000a_" sqref="C8:AG18" xr:uid="{EF15513C-1CE6-41DE-A022-43A54F08EA40}">
      <formula1>IF(C$6="sun",FALSE,OR(C8="P",C8="A"))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63E779-2744-4520-B8A6-590F1902D8D4}">
          <x14:formula1>
            <xm:f>Sheet2!$E$5:$E$16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ECE1-C1CD-43A6-8834-288C357D999F}">
  <sheetPr codeName="Sheet2"/>
  <dimension ref="E5:N26"/>
  <sheetViews>
    <sheetView topLeftCell="A2" workbookViewId="0">
      <selection activeCell="N18" sqref="N18"/>
    </sheetView>
  </sheetViews>
  <sheetFormatPr defaultRowHeight="14.4" x14ac:dyDescent="0.3"/>
  <sheetData>
    <row r="5" spans="5:14" x14ac:dyDescent="0.3">
      <c r="E5" t="s">
        <v>3</v>
      </c>
    </row>
    <row r="6" spans="5:14" x14ac:dyDescent="0.3">
      <c r="E6" t="s">
        <v>4</v>
      </c>
    </row>
    <row r="7" spans="5:14" x14ac:dyDescent="0.3">
      <c r="E7" t="s">
        <v>5</v>
      </c>
      <c r="H7" s="8" t="s">
        <v>39</v>
      </c>
      <c r="I7" s="8" t="s">
        <v>40</v>
      </c>
      <c r="J7" s="8" t="s">
        <v>41</v>
      </c>
    </row>
    <row r="8" spans="5:14" x14ac:dyDescent="0.3">
      <c r="E8" t="s">
        <v>6</v>
      </c>
      <c r="H8" s="8"/>
      <c r="I8" s="8"/>
      <c r="J8" s="8"/>
    </row>
    <row r="9" spans="5:14" x14ac:dyDescent="0.3">
      <c r="E9" t="s">
        <v>7</v>
      </c>
      <c r="H9" s="8"/>
      <c r="I9" s="8"/>
      <c r="J9" s="8"/>
    </row>
    <row r="10" spans="5:14" x14ac:dyDescent="0.3">
      <c r="E10" t="s">
        <v>8</v>
      </c>
      <c r="H10" s="8"/>
      <c r="I10" s="8"/>
      <c r="J10" s="8"/>
    </row>
    <row r="11" spans="5:14" x14ac:dyDescent="0.3">
      <c r="E11" t="s">
        <v>9</v>
      </c>
      <c r="H11" s="8"/>
      <c r="I11" s="8"/>
      <c r="J11" s="8"/>
    </row>
    <row r="12" spans="5:14" x14ac:dyDescent="0.3">
      <c r="E12" t="s">
        <v>10</v>
      </c>
      <c r="H12" s="8"/>
      <c r="I12" s="8"/>
      <c r="J12" s="8"/>
    </row>
    <row r="13" spans="5:14" x14ac:dyDescent="0.3">
      <c r="E13" t="s">
        <v>11</v>
      </c>
      <c r="H13" s="8"/>
      <c r="I13" s="8"/>
      <c r="J13" s="8"/>
    </row>
    <row r="14" spans="5:14" x14ac:dyDescent="0.3">
      <c r="E14" t="s">
        <v>12</v>
      </c>
    </row>
    <row r="15" spans="5:14" x14ac:dyDescent="0.3">
      <c r="E15" t="s">
        <v>13</v>
      </c>
    </row>
    <row r="16" spans="5:14" x14ac:dyDescent="0.3">
      <c r="E16" t="s">
        <v>14</v>
      </c>
      <c r="N16" s="1" t="s">
        <v>17</v>
      </c>
    </row>
    <row r="17" spans="14:14" x14ac:dyDescent="0.3">
      <c r="N17" s="1" t="s">
        <v>18</v>
      </c>
    </row>
    <row r="18" spans="14:14" x14ac:dyDescent="0.3">
      <c r="N18" s="1" t="s">
        <v>21</v>
      </c>
    </row>
    <row r="19" spans="14:14" x14ac:dyDescent="0.3">
      <c r="N19" s="1" t="s">
        <v>19</v>
      </c>
    </row>
    <row r="20" spans="14:14" x14ac:dyDescent="0.3">
      <c r="N20" s="1" t="s">
        <v>23</v>
      </c>
    </row>
    <row r="21" spans="14:14" x14ac:dyDescent="0.3">
      <c r="N21" s="1" t="s">
        <v>42</v>
      </c>
    </row>
    <row r="22" spans="14:14" x14ac:dyDescent="0.3">
      <c r="N22" s="1" t="s">
        <v>20</v>
      </c>
    </row>
    <row r="23" spans="14:14" x14ac:dyDescent="0.3">
      <c r="N23" s="1" t="s">
        <v>22</v>
      </c>
    </row>
    <row r="24" spans="14:14" x14ac:dyDescent="0.3">
      <c r="N24" s="1" t="s">
        <v>43</v>
      </c>
    </row>
    <row r="25" spans="14:14" x14ac:dyDescent="0.3">
      <c r="N25" s="1" t="s">
        <v>44</v>
      </c>
    </row>
    <row r="26" spans="14:14" x14ac:dyDescent="0.3">
      <c r="N26" s="1" t="s">
        <v>45</v>
      </c>
    </row>
  </sheetData>
  <sheetProtection algorithmName="SHA-512" hashValue="7T8AdFR6LgCc6zW1E9Ib0bCk3KsbeZIE+OCnOTpUpMzqi6wZDKAAWpiGLGwhUWzwtIbKbKC1nKKUoigNmjnRTA==" saltValue="XVqrUQitW1sOkEN4MnJkV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Aquib Raza</dc:creator>
  <cp:lastModifiedBy>Md Aquib Raza</cp:lastModifiedBy>
  <dcterms:created xsi:type="dcterms:W3CDTF">2026-06-09T18:22:32Z</dcterms:created>
  <dcterms:modified xsi:type="dcterms:W3CDTF">2026-06-13T15:31:45Z</dcterms:modified>
</cp:coreProperties>
</file>